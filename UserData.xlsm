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Height="17325" activeTab="5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<sst xmlns="http://schemas.openxmlformats.org/spreadsheetml/2006/main" count="172" uniqueCount="130">
  <si>
    <t>This sheet summarizes the parameters for power flow analysis</t>
  </si>
  <si>
    <t>Notes:</t>
  </si>
  <si>
    <t>Area type: 1-AC, 2-DC.</t>
  </si>
  <si>
    <t>AC bus type: 1-slack bus, 2-PV bus, 3-PQ bus</t>
  </si>
  <si>
    <t>DC bus type: 1-slack bus (V bus), 2-N/A, 3-P bus (I bus)</t>
  </si>
  <si>
    <t>The first bus of each area has to be the slack bus, i.e., type-1 bus.</t>
  </si>
  <si>
    <t>PGi and QGi are in generator convention. PLi and QLi are in load convention.</t>
  </si>
  <si>
    <t>For active device (SG, VSI, etc), please use PGi and QGi. For load, please use PLi and QLi.</t>
  </si>
  <si>
    <t>The passive load can also be added by using the "NetworkLine" sheet with setting Pli and Qli to zero here.</t>
  </si>
  <si>
    <t>User data:</t>
  </si>
  <si>
    <t>Bus No.</t>
  </si>
  <si>
    <t>Bus type</t>
  </si>
  <si>
    <t>Vsp (pu)</t>
  </si>
  <si>
    <t>theta (rad)</t>
  </si>
  <si>
    <t>PGi (pu)</t>
  </si>
  <si>
    <t>QGi (pu)</t>
  </si>
  <si>
    <t>PLi (pu)</t>
  </si>
  <si>
    <t>QLi (pu)</t>
  </si>
  <si>
    <t>Qmin (pu)</t>
  </si>
  <si>
    <t>Qmax (pu)</t>
  </si>
  <si>
    <t>Area No.</t>
  </si>
  <si>
    <t>AC or DC</t>
  </si>
  <si>
    <t>This sheet summarizes the apparatuses connected to buses.</t>
  </si>
  <si>
    <t>Apparatus type list:</t>
  </si>
  <si>
    <t>%===============================</t>
  </si>
  <si>
    <t>% 0000-0100: AC device</t>
  </si>
  <si>
    <t>0-9: Synchronous machine</t>
  </si>
  <si>
    <t>10-19: Grid-following inverter</t>
  </si>
  <si>
    <t>20-29: Grid-forming inverter</t>
  </si>
  <si>
    <t>30-39：Battery</t>
  </si>
  <si>
    <t>40-49:Photovoltaic</t>
  </si>
  <si>
    <t>50-59: Wind turbine</t>
  </si>
  <si>
    <t>90: AC infinite bus (short circuit in small-signal)</t>
  </si>
  <si>
    <t>0: constant field flux, rotor motion of torque</t>
  </si>
  <si>
    <t>10: dc-side input is Pdc, i.e., constant power source</t>
  </si>
  <si>
    <t>20: fixed vdc</t>
  </si>
  <si>
    <t>30: grid-forming mode</t>
  </si>
  <si>
    <t>40: grid-forming mode</t>
  </si>
  <si>
    <t>50: grid-forming mode</t>
  </si>
  <si>
    <t>1: constant flux voltage, rotor motion of power</t>
  </si>
  <si>
    <t>11: fixed vdc, id_r = Pdc/vd, i.e., constant voltage source</t>
  </si>
  <si>
    <t>41: grid-following mode</t>
  </si>
  <si>
    <t>51: grid-following mode</t>
  </si>
  <si>
    <t>12: dc-side input is idc = Pdc/vdc_r, i.e., constant current source</t>
  </si>
  <si>
    <t>% 1000-1100: DC device</t>
  </si>
  <si>
    <t>1010-1019: Grid-feeding buck converter</t>
  </si>
  <si>
    <t>1020-1029: Grid-forming buck converter</t>
  </si>
  <si>
    <t>1090: DC infinite bus (small-signal short-circuit)</t>
  </si>
  <si>
    <t>1010: fixed vdc</t>
  </si>
  <si>
    <t>1020: fixed vdc</t>
  </si>
  <si>
    <t>1011: with vdc dynamics</t>
  </si>
  <si>
    <t>% 2000-2100: Hybrid device</t>
  </si>
  <si>
    <t>%%%</t>
  </si>
  <si>
    <t>2000-2009: AC-DC interlink converter</t>
  </si>
  <si>
    <t>2000: power flow control (grid-feeding at both sides)</t>
  </si>
  <si>
    <t>2001: vdc control (grid-forming at dc side)</t>
  </si>
  <si>
    <t>2002: VFM-FFL control (voltage-forming and frequency-following at ac side)</t>
  </si>
  <si>
    <t>2003: transfverter (grid-forming at both sides)</t>
  </si>
  <si>
    <t>For each bus, at least ONE and only ONE device can be connected.</t>
  </si>
  <si>
    <t>The buses and corresponding devices CAN be listed below in arbitrary order.</t>
  </si>
  <si>
    <t>The available apparatuses are listed above. They are all active apparatuses. For adding passive load, pls use Pli and Qli in the "Bus" sheet.</t>
  </si>
  <si>
    <r>
      <rPr>
        <sz val="11"/>
        <color theme="1"/>
        <rFont val="等线"/>
        <charset val="134"/>
        <scheme val="minor"/>
      </rPr>
      <t xml:space="preserve">In the apparatus type list, the </t>
    </r>
    <r>
      <rPr>
        <sz val="11"/>
        <color rgb="FF0070C0"/>
        <rFont val="等线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 xml:space="preserve"> highlighted apparatuses are not available currently but will be added soon.</t>
    </r>
  </si>
  <si>
    <t>Please set the apparatus number first, apparatus type next. The table will show the default paramter values automatically. The sub-type is not useful at this stage.</t>
  </si>
  <si>
    <t>BW indicates bandwidth in the paramter list.</t>
  </si>
  <si>
    <t>Apparatus number, pls set this value first:</t>
  </si>
  <si>
    <t xml:space="preserve"> </t>
  </si>
  <si>
    <t>Apparatus type</t>
  </si>
  <si>
    <t>Parameters</t>
  </si>
  <si>
    <t>J (pu)</t>
  </si>
  <si>
    <t>D (pu)</t>
  </si>
  <si>
    <t>wL (pu)</t>
  </si>
  <si>
    <t>R (pu)</t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</si>
  <si>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</si>
  <si>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</si>
  <si>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</si>
  <si>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</si>
  <si>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</si>
  <si>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</si>
  <si>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</si>
  <si>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</si>
  <si>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</si>
  <si>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BW idq (Hz)</t>
  </si>
  <si>
    <t>Vdc (pu)</t>
  </si>
  <si>
    <t>Cdc (pu)</t>
  </si>
  <si>
    <t>BW vdc (Hz)</t>
  </si>
  <si>
    <t>BW PLL (Hz)</t>
  </si>
  <si>
    <t>This sheet summarizes the parameters for network line impedance in IEEE form.</t>
  </si>
  <si>
    <t>In this form, a pi-circuit between two buses, i.e., series R+jwL impedance with parallel G/2+jwC/2 admittance between each bus and ground.</t>
  </si>
  <si>
    <t>The transformer is added between FromBus and branch.</t>
  </si>
  <si>
    <t>The branches can be listed in arbitrary order.</t>
  </si>
  <si>
    <t>FromBus should NOT equal to ToBus in this list.</t>
  </si>
  <si>
    <t>For using this sheet, please set enable from 0 to 1, then this sheet will over-write "NetworkLine"</t>
  </si>
  <si>
    <t>Enable:</t>
  </si>
  <si>
    <t>From bus</t>
  </si>
  <si>
    <t>To bus</t>
  </si>
  <si>
    <t>wC (pu)</t>
  </si>
  <si>
    <t>G (pu)</t>
  </si>
  <si>
    <t>Turns ratio (pu)</t>
  </si>
  <si>
    <t>This sheet summarizes the parameters for network line impedance.</t>
  </si>
  <si>
    <t>In this form, Ybranch = 1/(R+jwL)+(G+jwC), i.e., R and L are in series, G and C are in prallel, RL and GC are in parallel.</t>
  </si>
  <si>
    <t>The transformer is added by turn ratio, which is connected between FromBus and Zbranch in the layout.</t>
  </si>
  <si>
    <t>Mutual branch HAS TO be RL.</t>
  </si>
  <si>
    <t>Self branch HAS TO be GC.</t>
  </si>
  <si>
    <t>The self branch can represent the passive load, which is equivalent to the load settings in bus.</t>
  </si>
  <si>
    <t>inf</t>
  </si>
  <si>
    <t>This sheet summarizes basic settings</t>
  </si>
  <si>
    <t>Samping frequency (Hz)</t>
  </si>
  <si>
    <t>Base frequency (Hz)</t>
  </si>
  <si>
    <t>Base power (VA)</t>
  </si>
  <si>
    <t>Base voltage (V)</t>
  </si>
  <si>
    <t>This sheet summaries advanced settings.</t>
  </si>
  <si>
    <t>The Newton-Raphson power flow method can be used for pure ac grids only. When  the third discretization method is used, Discretization damping flag is setted as 0.</t>
  </si>
  <si>
    <t>Item</t>
  </si>
  <si>
    <t>Value</t>
  </si>
  <si>
    <t>Notes</t>
  </si>
  <si>
    <t>Discretization method</t>
  </si>
  <si>
    <t>1-Forward Eular, 2-Hybrid Euler-Trapezoidal, 3-One-Beat Delay Trapezoidal, 4-Euler Plus Dissipation</t>
  </si>
  <si>
    <t>Linearization times</t>
  </si>
  <si>
    <t>1-Initial step, 2-Every step</t>
  </si>
  <si>
    <t>Discretization damping flag</t>
  </si>
  <si>
    <t>1-With virtual damping resistor, 0-Without virtual damping resistor</t>
  </si>
  <si>
    <t>Direct feedthrough</t>
  </si>
  <si>
    <t>0-No, 1-Yes</t>
  </si>
  <si>
    <t>Power flow algorithm</t>
  </si>
  <si>
    <r>
      <rPr>
        <sz val="11"/>
        <color theme="1"/>
        <rFont val="等线"/>
        <charset val="134"/>
        <scheme val="minor"/>
      </rPr>
      <t xml:space="preserve">1-Gauss-Seidel, </t>
    </r>
    <r>
      <rPr>
        <sz val="11"/>
        <color rgb="FF0070C0"/>
        <rFont val="等线"/>
        <charset val="134"/>
        <scheme val="minor"/>
      </rPr>
      <t>2-Newton-Raphson</t>
    </r>
  </si>
  <si>
    <t>Enable (create simulink model)</t>
  </si>
  <si>
    <t>0-Disable, 1-Enable</t>
  </si>
  <si>
    <t>Enable (plot pole map)</t>
  </si>
  <si>
    <t>Enable (plot admittance)</t>
  </si>
  <si>
    <t>Enable (print output)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</si>
</sst>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</numFmts>
  <fonts count="25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1"/>
      <color rgb="FF0070C0"/>
      <name val="等线"/>
      <charset val="134"/>
      <scheme val="minor"/>
    </font>
    <font>
      <b/>
      <sz val="11"/>
      <color rgb="FF0070C0"/>
      <name val="等线"/>
      <charset val="134"/>
      <scheme val="minor"/>
    </font>
    <font>
      <b/>
      <sz val="1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3" borderId="1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4" borderId="4" applyNumberFormat="0" applyAlignment="0" applyProtection="0">
      <alignment vertical="center"/>
    </xf>
    <xf numFmtId="0" fontId="15" fillId="5" borderId="5" applyNumberFormat="0" applyAlignment="0" applyProtection="0">
      <alignment vertical="center"/>
    </xf>
    <xf numFmtId="0" fontId="16" fillId="5" borderId="4" applyNumberFormat="0" applyAlignment="0" applyProtection="0">
      <alignment vertical="center"/>
    </xf>
    <xf numFmtId="0" fontId="17" fillId="6" borderId="6" applyNumberFormat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</cellStyleXfs>
  <cellXfs count="15">
    <xf numFmtId="0" fontId="0" fillId="0" borderId="0" xfId="0"/>
    <xf numFmtId="0" fontId="1" fillId="0" borderId="0" xfId="0" applyFont="1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0" fillId="0" borderId="0" xfId="0" applyFont="1"/>
    <xf numFmtId="0" fontId="3" fillId="0" borderId="0" xfId="0" applyFont="1"/>
    <xf numFmtId="22" fontId="1" fillId="0" borderId="0" xfId="0" applyNumberFormat="1" applyFont="1"/>
    <xf numFmtId="46" fontId="0" fillId="0" borderId="0" xfId="0" applyNumberFormat="1"/>
    <xf numFmtId="22" fontId="3" fillId="0" borderId="0" xfId="0" applyNumberFormat="1" applyFont="1"/>
    <xf numFmtId="46" fontId="3" fillId="0" borderId="0" xfId="0" applyNumberFormat="1" applyFont="1"/>
    <xf numFmtId="0" fontId="2" fillId="0" borderId="0" xfId="0" applyFont="1" applyAlignment="1">
      <alignment wrapText="1"/>
    </xf>
    <xf numFmtId="0" fontId="4" fillId="0" borderId="0" xfId="0" applyFont="1"/>
    <xf numFmtId="0" fontId="0" fillId="2" borderId="0" xfId="0" applyFill="1"/>
    <xf numFmtId="0" fontId="5" fillId="0" borderId="0" xfId="0" applyFont="1"/>
    <xf numFmtId="0" fontId="1" fillId="0" borderId="0" xfId="0" applyFont="1" quotePrefix="1"/>
    <xf numFmtId="22" fontId="1" fillId="0" borderId="0" xfId="0" applyNumberFormat="1" applyFont="1" quotePrefix="1"/>
    <xf numFmtId="46" fontId="0" fillId="0" borderId="0" xfId="0" applyNumberFormat="1" quotePrefix="1"/>
    <xf numFmtId="22" fontId="3" fillId="0" borderId="0" xfId="0" applyNumberFormat="1" applyFont="1" quotePrefix="1"/>
    <xf numFmtId="46" fontId="3" fillId="0" borderId="0" xfId="0" applyNumberFormat="1" applyFont="1" quotePrefix="1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L15"/>
  <sheetViews>
    <sheetView workbookViewId="0">
      <selection activeCell="K28" sqref="K28"/>
    </sheetView>
  </sheetViews>
  <sheetFormatPr defaultColWidth="9" defaultRowHeight="14.25"/>
  <cols>
    <col min="4" max="4" width="9.44166666666667" customWidth="1"/>
    <col min="6" max="6" width="11" customWidth="1"/>
    <col min="9" max="9" width="10.775" customWidth="1"/>
    <col min="10" max="10" width="11.1083333333333" customWidth="1"/>
    <col min="11" max="11" width="10.1083333333333" customWidth="1"/>
    <col min="12" max="12" width="10.4416666666667" customWidth="1"/>
  </cols>
  <sheetData>
    <row r="1" spans="1:12">
      <c r="A1" s="14" t="s">
        <v>0</v>
      </c>
    </row>
    <row r="2" spans="1:12">
      <c r="A2" s="14" t="s">
        <v>1</v>
      </c>
    </row>
    <row r="3" spans="1:12">
      <c r="A3" s="4" t="s">
        <v>2</v>
      </c>
    </row>
    <row r="4" spans="1:12">
      <c r="A4" t="s">
        <v>3</v>
      </c>
    </row>
    <row r="5" spans="1:12">
      <c r="A5" t="s">
        <v>4</v>
      </c>
    </row>
    <row r="6" spans="1:12">
      <c r="A6" t="s">
        <v>5</v>
      </c>
    </row>
    <row r="7" spans="1:12">
      <c r="A7" t="s">
        <v>6</v>
      </c>
    </row>
    <row r="8" spans="1:12">
      <c r="A8" t="s">
        <v>7</v>
      </c>
    </row>
    <row r="9" spans="1:12">
      <c r="A9" t="s">
        <v>8</v>
      </c>
    </row>
    <row r="10" spans="1:12">
      <c r="A10" s="14" t="s">
        <v>9</v>
      </c>
    </row>
    <row r="11" spans="1:12">
      <c r="A11" s="1" t="s">
        <v>10</v>
      </c>
      <c r="B11" s="1" t="s">
        <v>11</v>
      </c>
      <c r="C11" s="1" t="s">
        <v>12</v>
      </c>
      <c r="D11" s="1" t="s">
        <v>13</v>
      </c>
      <c r="E11" s="1" t="s">
        <v>14</v>
      </c>
      <c r="F11" s="1" t="s">
        <v>15</v>
      </c>
      <c r="G11" s="1" t="s">
        <v>16</v>
      </c>
      <c r="H11" s="1" t="s">
        <v>17</v>
      </c>
      <c r="I11" s="1" t="s">
        <v>18</v>
      </c>
      <c r="J11" s="1" t="s">
        <v>19</v>
      </c>
      <c r="K11" s="1" t="s">
        <v>20</v>
      </c>
      <c r="L11" s="1" t="s">
        <v>21</v>
      </c>
    </row>
    <row r="12" spans="1:12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-999</v>
      </c>
      <c r="J12">
        <v>999</v>
      </c>
      <c r="K12">
        <v>1</v>
      </c>
      <c r="L12">
        <v>1</v>
      </c>
    </row>
    <row r="13" spans="1:12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-999</v>
      </c>
      <c r="J13">
        <v>999</v>
      </c>
      <c r="K13">
        <v>1</v>
      </c>
      <c r="L13">
        <v>1</v>
      </c>
    </row>
    <row r="14" spans="1:12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-999</v>
      </c>
      <c r="J14">
        <v>999</v>
      </c>
      <c r="K14">
        <v>1</v>
      </c>
      <c r="L14">
        <v>1</v>
      </c>
    </row>
    <row r="15" spans="1:12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-999</v>
      </c>
      <c r="J15">
        <v>999</v>
      </c>
      <c r="K15">
        <v>1</v>
      </c>
      <c r="L15">
        <v>1</v>
      </c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S43"/>
  <sheetViews>
    <sheetView topLeftCell="A37" workbookViewId="0">
      <selection activeCell="S7" sqref="S7"/>
    </sheetView>
  </sheetViews>
  <sheetFormatPr defaultColWidth="9" defaultRowHeight="14.25"/>
  <cols>
    <col min="1" max="1" width="9.775" customWidth="1"/>
    <col min="2" max="25" width="13.5583333333333" customWidth="1"/>
  </cols>
  <sheetData>
    <row r="1" spans="1:19">
      <c r="A1" s="1" t="s">
        <v>22</v>
      </c>
    </row>
    <row r="2" spans="1:19">
      <c r="A2" s="1" t="s">
        <v>23</v>
      </c>
    </row>
    <row r="3" spans="1:19">
      <c r="B3" s="15" t="s">
        <v>24</v>
      </c>
      <c r="C3" s="1"/>
    </row>
    <row r="4" spans="1:19">
      <c r="B4" s="15" t="s">
        <v>25</v>
      </c>
      <c r="C4" s="1"/>
    </row>
    <row r="5" spans="1:19">
      <c r="B5" s="15" t="s">
        <v>24</v>
      </c>
      <c r="C5" s="1"/>
    </row>
    <row r="6" spans="1:19">
      <c r="B6" s="1" t="s">
        <v>26</v>
      </c>
      <c r="F6" s="1" t="s">
        <v>27</v>
      </c>
      <c r="J6" s="1" t="s">
        <v>28</v>
      </c>
      <c r="M6" s="1" t="s">
        <v>29</v>
      </c>
      <c r="O6" s="1" t="s">
        <v>30</v>
      </c>
      <c r="Q6" s="1" t="s">
        <v>31</v>
      </c>
      <c r="S6" s="1" t="s">
        <v>32</v>
      </c>
    </row>
    <row r="7" spans="1:19">
      <c r="B7" t="s">
        <v>33</v>
      </c>
      <c r="F7" t="s">
        <v>34</v>
      </c>
      <c r="J7" s="4" t="s">
        <v>35</v>
      </c>
      <c r="M7" t="s">
        <v>36</v>
      </c>
      <c r="O7" t="s">
        <v>37</v>
      </c>
      <c r="Q7" s="5" t="s">
        <v>38</v>
      </c>
    </row>
    <row r="8" spans="1:19">
      <c r="B8" t="s">
        <v>39</v>
      </c>
      <c r="F8" t="s">
        <v>40</v>
      </c>
      <c r="O8" s="5" t="s">
        <v>41</v>
      </c>
      <c r="Q8" s="5" t="s">
        <v>42</v>
      </c>
    </row>
    <row r="9" spans="1:19">
      <c r="B9" s="6"/>
      <c r="F9" t="s">
        <v>43</v>
      </c>
    </row>
    <row r="10" spans="1:19">
      <c r="B10" s="15" t="s">
        <v>24</v>
      </c>
    </row>
    <row r="11" spans="1:19">
      <c r="B11" s="15" t="s">
        <v>44</v>
      </c>
    </row>
    <row r="12" spans="1:19">
      <c r="B12" s="15" t="s">
        <v>24</v>
      </c>
    </row>
    <row r="13" spans="1:19">
      <c r="B13" s="16" t="s">
        <v>45</v>
      </c>
      <c r="D13" s="4"/>
      <c r="F13" s="16" t="s">
        <v>46</v>
      </c>
      <c r="G13" s="4"/>
      <c r="H13" s="4"/>
      <c r="J13" s="15" t="s">
        <v>47</v>
      </c>
    </row>
    <row r="14" spans="1:19">
      <c r="B14" s="17" t="s">
        <v>48</v>
      </c>
      <c r="F14" s="18" t="s">
        <v>49</v>
      </c>
      <c r="I14" s="1"/>
    </row>
    <row r="15" spans="1:19">
      <c r="B15" s="19" t="s">
        <v>50</v>
      </c>
    </row>
    <row r="16" spans="1:19">
      <c r="B16" s="15" t="s">
        <v>24</v>
      </c>
    </row>
    <row r="17" spans="1:10">
      <c r="B17" s="15" t="s">
        <v>51</v>
      </c>
    </row>
    <row r="18" spans="1:10">
      <c r="B18" s="15" t="s">
        <v>24</v>
      </c>
    </row>
    <row r="19" spans="1:10">
      <c r="B19" s="15" t="s">
        <v>52</v>
      </c>
    </row>
    <row r="20" spans="1:10">
      <c r="B20" s="15" t="s">
        <v>53</v>
      </c>
      <c r="D20" s="4"/>
      <c r="E20" s="4"/>
      <c r="F20" s="4"/>
      <c r="G20" s="4"/>
      <c r="H20" s="4"/>
      <c r="I20" s="11"/>
      <c r="J20" s="11"/>
    </row>
    <row r="21" spans="1:10">
      <c r="B21" s="17" t="s">
        <v>54</v>
      </c>
    </row>
    <row r="22" spans="1:10">
      <c r="B22" s="17" t="s">
        <v>55</v>
      </c>
    </row>
    <row r="23" spans="1:10">
      <c r="B23" s="17" t="s">
        <v>56</v>
      </c>
    </row>
    <row r="24" spans="1:10">
      <c r="B24" s="19" t="s">
        <v>57</v>
      </c>
    </row>
    <row r="25" spans="1:10">
      <c r="A25" s="1" t="s">
        <v>1</v>
      </c>
    </row>
    <row r="26" spans="1:10">
      <c r="A26" t="s">
        <v>58</v>
      </c>
    </row>
    <row r="27" spans="1:10">
      <c r="A27" t="s">
        <v>59</v>
      </c>
    </row>
    <row r="28" spans="1:10">
      <c r="A28" t="s">
        <v>60</v>
      </c>
    </row>
    <row r="29" spans="1:10">
      <c r="A29" t="s">
        <v>61</v>
      </c>
    </row>
    <row r="30" spans="1:10">
      <c r="A30" s="12" t="s">
        <v>62</v>
      </c>
    </row>
    <row r="31" spans="1:10">
      <c r="A31" s="4" t="s">
        <v>63</v>
      </c>
    </row>
    <row r="32" spans="1:10">
      <c r="A32" s="1" t="s">
        <v>9</v>
      </c>
    </row>
    <row r="33" spans="1:12">
      <c r="A33" s="1" t="s">
        <v>64</v>
      </c>
    </row>
    <row r="34" spans="1:12">
      <c r="A34" s="13">
        <v>4</v>
      </c>
      <c r="E34" t="s">
        <v>65</v>
      </c>
    </row>
    <row r="35" spans="1:12">
      <c r="A35" s="1" t="s">
        <v>10</v>
      </c>
      <c r="B35" s="1" t="s">
        <v>66</v>
      </c>
      <c r="C35" s="1" t="s">
        <v>67</v>
      </c>
    </row>
    <row r="36" spans="1:12">
      <c r="A36">
        <v>1</v>
      </c>
      <c r="B36">
        <v>0</v>
      </c>
      <c r="C36" t="s">
        <v>68</v>
      </c>
      <c r="D36" t="s">
        <v>69</v>
      </c>
      <c r="E36" t="s">
        <v>70</v>
      </c>
      <c r="F36" t="s">
        <v>71</v>
      </c>
    </row>
    <row r="37" spans="1:12">
      <c r="C37">
        <v>3.5</v>
      </c>
      <c r="D37">
        <v>1</v>
      </c>
      <c r="E37">
        <v>0.05</v>
      </c>
      <c r="F37">
        <v>0.01</v>
      </c>
    </row>
    <row r="38" spans="1:12">
      <c r="A38">
        <v>2</v>
      </c>
      <c r="B38">
        <v>0</v>
      </c>
      <c r="C38" t="s">
        <v>68</v>
      </c>
      <c r="D38" t="s">
        <v>69</v>
      </c>
      <c r="E38" t="s">
        <v>70</v>
      </c>
      <c r="F38" t="s">
        <v>71</v>
      </c>
    </row>
    <row r="39" spans="1:12">
      <c r="C39">
        <v>3.5</v>
      </c>
      <c r="D39">
        <v>1</v>
      </c>
      <c r="E39">
        <v>0.05</v>
      </c>
      <c r="F39">
        <v>0.01</v>
      </c>
    </row>
    <row r="40" spans="1:12">
      <c r="A40">
        <v>3</v>
      </c>
      <c r="B40">
        <v>20</v>
      </c>
      <c r="C40" t="s">
        <v>72</v>
      </c>
      <c r="D40" t="s">
        <v>73</v>
      </c>
      <c r="E40" t="s">
        <v>74</v>
      </c>
      <c r="F40" t="s">
        <v>75</v>
      </c>
      <c r="G40" t="s">
        <v>76</v>
      </c>
      <c r="H40" t="s">
        <v>77</v>
      </c>
      <c r="I40" t="s">
        <v>78</v>
      </c>
      <c r="J40" t="s">
        <v>79</v>
      </c>
      <c r="K40" t="s">
        <v>80</v>
      </c>
      <c r="L40" t="s">
        <v>81</v>
      </c>
    </row>
    <row r="41" spans="1:12">
      <c r="C41">
        <v>0.05</v>
      </c>
      <c r="D41">
        <v>0.01</v>
      </c>
      <c r="E41">
        <v>0.02</v>
      </c>
      <c r="F41">
        <v>0.01</v>
      </c>
      <c r="G41">
        <v>0.002</v>
      </c>
      <c r="H41">
        <v>0.01</v>
      </c>
      <c r="I41">
        <v>0.05</v>
      </c>
      <c r="J41">
        <v>5</v>
      </c>
      <c r="K41">
        <v>300</v>
      </c>
      <c r="L41">
        <v>600</v>
      </c>
    </row>
    <row r="42" spans="1:12">
      <c r="A42">
        <v>4</v>
      </c>
      <c r="B42">
        <v>10</v>
      </c>
      <c r="C42" t="s">
        <v>82</v>
      </c>
      <c r="D42" t="s">
        <v>83</v>
      </c>
      <c r="E42" t="s">
        <v>70</v>
      </c>
      <c r="F42" t="s">
        <v>71</v>
      </c>
      <c r="G42" t="s">
        <v>84</v>
      </c>
      <c r="H42" t="s">
        <v>85</v>
      </c>
      <c r="I42" t="s">
        <v>81</v>
      </c>
    </row>
    <row r="43" spans="1:12">
      <c r="C43">
        <v>2.5</v>
      </c>
      <c r="D43">
        <v>1.25</v>
      </c>
      <c r="E43">
        <v>0.03</v>
      </c>
      <c r="F43">
        <v>0.01</v>
      </c>
      <c r="G43">
        <v>5</v>
      </c>
      <c r="H43">
        <v>5</v>
      </c>
      <c r="I43">
        <v>600</v>
      </c>
    </row>
  </sheetData>
  <mergeCells count="8">
    <mergeCell ref="A36:A37"/>
    <mergeCell ref="A38:A39"/>
    <mergeCell ref="A40:A41"/>
    <mergeCell ref="A42:A43"/>
    <mergeCell ref="B36:B37"/>
    <mergeCell ref="B38:B39"/>
    <mergeCell ref="B40:B41"/>
    <mergeCell ref="B42:B43"/>
  </mergeCells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G11"/>
  <sheetViews>
    <sheetView workbookViewId="0">
      <selection activeCell="G12" sqref="G12"/>
    </sheetView>
  </sheetViews>
  <sheetFormatPr defaultColWidth="9" defaultRowHeight="14.25" outlineLevelCol="6"/>
  <cols>
    <col min="7" max="7" width="14.4416666666667" customWidth="1"/>
  </cols>
  <sheetData>
    <row r="1" spans="1:7">
      <c r="A1" s="1" t="s">
        <v>86</v>
      </c>
    </row>
    <row r="2" spans="1:7">
      <c r="A2" s="1" t="s">
        <v>1</v>
      </c>
    </row>
    <row r="3" spans="1:7">
      <c r="A3" t="s">
        <v>87</v>
      </c>
    </row>
    <row r="4" spans="1:7">
      <c r="A4" t="s">
        <v>88</v>
      </c>
    </row>
    <row r="5" spans="1:7">
      <c r="A5" t="s">
        <v>89</v>
      </c>
    </row>
    <row r="6" spans="1:7">
      <c r="A6" t="s">
        <v>90</v>
      </c>
    </row>
    <row r="7" spans="1:7">
      <c r="A7" t="s">
        <v>91</v>
      </c>
    </row>
    <row r="8" spans="1:7">
      <c r="A8" s="1" t="s">
        <v>92</v>
      </c>
    </row>
    <row r="9" spans="1:7">
      <c r="A9">
        <v>0</v>
      </c>
    </row>
    <row r="10" spans="1:7">
      <c r="A10" s="1" t="s">
        <v>9</v>
      </c>
    </row>
    <row r="11" spans="1:7">
      <c r="A11" s="1" t="s">
        <v>93</v>
      </c>
      <c r="B11" s="1" t="s">
        <v>94</v>
      </c>
      <c r="C11" s="1" t="s">
        <v>71</v>
      </c>
      <c r="D11" s="1" t="s">
        <v>70</v>
      </c>
      <c r="E11" s="1" t="s">
        <v>95</v>
      </c>
      <c r="F11" s="1" t="s">
        <v>96</v>
      </c>
      <c r="G11" s="1" t="s">
        <v>97</v>
      </c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G20"/>
  <sheetViews>
    <sheetView workbookViewId="0">
      <selection activeCell="G38" sqref="G38"/>
    </sheetView>
  </sheetViews>
  <sheetFormatPr defaultColWidth="9" defaultRowHeight="14.25" outlineLevelCol="6"/>
  <cols>
    <col min="1" max="1" width="10" customWidth="1"/>
    <col min="7" max="7" width="14.775" customWidth="1"/>
  </cols>
  <sheetData>
    <row r="1" spans="1:7">
      <c r="A1" s="1" t="s">
        <v>98</v>
      </c>
    </row>
    <row r="2" spans="1:7">
      <c r="A2" s="1" t="s">
        <v>1</v>
      </c>
    </row>
    <row r="3" spans="1:7">
      <c r="A3" t="s">
        <v>99</v>
      </c>
    </row>
    <row r="4" spans="1:7">
      <c r="A4" t="s">
        <v>100</v>
      </c>
    </row>
    <row r="5" spans="1:7">
      <c r="A5" t="s">
        <v>89</v>
      </c>
    </row>
    <row r="6" spans="1:7">
      <c r="A6" t="s">
        <v>101</v>
      </c>
    </row>
    <row r="7" spans="1:7">
      <c r="A7" t="s">
        <v>102</v>
      </c>
    </row>
    <row r="8" spans="1:7">
      <c r="A8" t="s">
        <v>103</v>
      </c>
    </row>
    <row r="9" spans="1:7">
      <c r="A9" s="1" t="s">
        <v>9</v>
      </c>
    </row>
    <row r="10" spans="1:7">
      <c r="A10" s="1" t="s">
        <v>93</v>
      </c>
      <c r="B10" s="1" t="s">
        <v>94</v>
      </c>
      <c r="C10" s="1" t="s">
        <v>71</v>
      </c>
      <c r="D10" s="1" t="s">
        <v>70</v>
      </c>
      <c r="E10" s="1" t="s">
        <v>95</v>
      </c>
      <c r="F10" s="1" t="s">
        <v>96</v>
      </c>
      <c r="G10" s="1" t="s">
        <v>97</v>
      </c>
    </row>
    <row r="11" spans="1:7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>
      <c r="A15">
        <v>1</v>
      </c>
      <c r="B15">
        <v>1</v>
      </c>
      <c r="C15" t="s">
        <v>104</v>
      </c>
      <c r="D15" t="s">
        <v>104</v>
      </c>
      <c r="E15" s="2">
        <v>1e-5</v>
      </c>
      <c r="F15">
        <v>0.6</v>
      </c>
      <c r="G15">
        <v>1</v>
      </c>
    </row>
    <row r="16" spans="1:7">
      <c r="A16">
        <v>2</v>
      </c>
      <c r="B16">
        <v>2</v>
      </c>
      <c r="C16" t="s">
        <v>104</v>
      </c>
      <c r="D16" t="s">
        <v>104</v>
      </c>
      <c r="E16" s="2">
        <v>1e-5</v>
      </c>
      <c r="F16">
        <v>0.6</v>
      </c>
      <c r="G16">
        <v>1</v>
      </c>
    </row>
    <row r="17" spans="1:7">
      <c r="A17">
        <v>3</v>
      </c>
      <c r="B17">
        <v>3</v>
      </c>
      <c r="C17" t="s">
        <v>104</v>
      </c>
      <c r="D17" t="s">
        <v>104</v>
      </c>
      <c r="E17" s="2">
        <v>1e-5</v>
      </c>
      <c r="F17">
        <v>0.75</v>
      </c>
      <c r="G17">
        <v>1</v>
      </c>
    </row>
    <row r="18" spans="1:7">
      <c r="A18">
        <v>4</v>
      </c>
      <c r="B18">
        <v>4</v>
      </c>
      <c r="C18" t="s">
        <v>104</v>
      </c>
      <c r="D18" t="s">
        <v>104</v>
      </c>
      <c r="E18" s="2">
        <v>1e-5</v>
      </c>
      <c r="F18">
        <v>0.05</v>
      </c>
      <c r="G18">
        <v>1</v>
      </c>
    </row>
    <row r="19" spans="1:7">
      <c r="E19" s="2"/>
    </row>
    <row r="20" spans="1:7">
      <c r="E20" s="2"/>
    </row>
  </sheetData>
  <pageMargins left="0.7" right="0.7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6"/>
  <sheetViews>
    <sheetView workbookViewId="0">
      <selection activeCell="H20" sqref="H20"/>
    </sheetView>
  </sheetViews>
  <sheetFormatPr defaultColWidth="9" defaultRowHeight="14.25" outlineLevelRow="5" outlineLevelCol="1"/>
  <cols>
    <col min="1" max="1" width="22" customWidth="1"/>
    <col min="2" max="2" width="18.5583333333333" customWidth="1"/>
    <col min="3" max="3" width="15" customWidth="1"/>
    <col min="4" max="4" width="15.775" customWidth="1"/>
  </cols>
  <sheetData>
    <row r="1" spans="1:2">
      <c r="A1" s="1" t="s">
        <v>105</v>
      </c>
    </row>
    <row r="2" spans="1:2">
      <c r="A2" s="1" t="s">
        <v>9</v>
      </c>
    </row>
    <row r="3" spans="1:2">
      <c r="A3" t="s">
        <v>106</v>
      </c>
      <c r="B3" s="2">
        <f>B4*1000/2</f>
        <v>25000</v>
      </c>
    </row>
    <row r="4" spans="1:2">
      <c r="A4" t="s">
        <v>107</v>
      </c>
      <c r="B4" s="3">
        <v>50</v>
      </c>
    </row>
    <row r="5" spans="1:2">
      <c r="A5" t="s">
        <v>108</v>
      </c>
      <c r="B5">
        <v>1</v>
      </c>
    </row>
    <row r="6" spans="1:2">
      <c r="A6" t="s">
        <v>109</v>
      </c>
      <c r="B6">
        <v>1</v>
      </c>
    </row>
  </sheetData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D14"/>
  <sheetViews>
    <sheetView tabSelected="1" workbookViewId="0">
      <selection activeCell="G23" sqref="G23"/>
    </sheetView>
  </sheetViews>
  <sheetFormatPr defaultColWidth="9" defaultRowHeight="14.25" outlineLevelCol="3"/>
  <cols>
    <col min="1" max="1" width="30.1083333333333" customWidth="1"/>
  </cols>
  <sheetData>
    <row r="1" spans="1:4">
      <c r="A1" s="1" t="s">
        <v>110</v>
      </c>
    </row>
    <row r="2" spans="1:4">
      <c r="A2" s="1" t="s">
        <v>1</v>
      </c>
    </row>
    <row r="3" spans="1:4">
      <c r="A3" t="s">
        <v>111</v>
      </c>
    </row>
    <row r="4" spans="1:4">
      <c r="A4" s="1" t="s">
        <v>9</v>
      </c>
    </row>
    <row r="5" spans="1:4">
      <c r="A5" s="1" t="s">
        <v>112</v>
      </c>
      <c r="B5" s="1" t="s">
        <v>113</v>
      </c>
      <c r="C5" s="1"/>
      <c r="D5" s="1" t="s">
        <v>114</v>
      </c>
    </row>
    <row r="6" spans="1:4">
      <c r="A6" t="s">
        <v>115</v>
      </c>
      <c r="B6">
        <v>4</v>
      </c>
      <c r="D6" t="s">
        <v>116</v>
      </c>
    </row>
    <row r="7" spans="1:4">
      <c r="A7" t="s">
        <v>117</v>
      </c>
      <c r="B7">
        <v>1</v>
      </c>
      <c r="D7" t="s">
        <v>118</v>
      </c>
    </row>
    <row r="8" spans="1:4">
      <c r="A8" t="s">
        <v>119</v>
      </c>
      <c r="B8">
        <v>1</v>
      </c>
      <c r="D8" t="s">
        <v>120</v>
      </c>
    </row>
    <row r="9" spans="1:4">
      <c r="A9" t="s">
        <v>121</v>
      </c>
      <c r="B9">
        <v>0</v>
      </c>
      <c r="D9" t="s">
        <v>122</v>
      </c>
    </row>
    <row r="10" spans="1:4">
      <c r="A10" t="s">
        <v>123</v>
      </c>
      <c r="B10">
        <v>1</v>
      </c>
      <c r="D10" t="s">
        <v>124</v>
      </c>
    </row>
    <row r="11" spans="1:4">
      <c r="A11" t="s">
        <v>125</v>
      </c>
      <c r="B11">
        <v>1</v>
      </c>
      <c r="D11" t="s">
        <v>126</v>
      </c>
    </row>
    <row r="12" spans="1:4">
      <c r="A12" t="s">
        <v>127</v>
      </c>
      <c r="B12">
        <v>1</v>
      </c>
      <c r="D12" t="s">
        <v>126</v>
      </c>
    </row>
    <row r="13" spans="1:4">
      <c r="A13" t="s">
        <v>128</v>
      </c>
      <c r="B13">
        <v>1</v>
      </c>
      <c r="D13" t="s">
        <v>126</v>
      </c>
    </row>
    <row r="14" spans="1:4">
      <c r="A14" t="s">
        <v>129</v>
      </c>
      <c r="B14">
        <v>1</v>
      </c>
      <c r="D14" t="s">
        <v>126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嗯哼</cp:lastModifiedBy>
  <dcterms:created xsi:type="dcterms:W3CDTF">2015-06-05T18:17:00Z</dcterms:created>
  <dcterms:modified xsi:type="dcterms:W3CDTF">2026-03-09T07:10:04Z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44F3127A-B3F4-4C54-B7DE-8C9D194F2158</vt:lpwstr>
  </property>
  <property fmtid="{D5CDD505-2E9C-101B-9397-08002B2CF9AE}" pid="3" name="KSOProductBuildVer">
    <vt:lpwstr>2052-12.1.0.25225</vt:lpwstr>
  </property>
  <property fmtid="{D5CDD505-2E9C-101B-9397-08002B2CF9AE}" pid="4" name="ICV">
    <vt:lpwstr>A2A51EEFD47F4793BD2F05A6CA631D79_12</vt:lpwstr>
  </property>
  <property fmtid="{D5CDD505-2E9C-101B-9397-08002B2CF9AE}" pid="5" name="CalculationRule">
    <vt:i4>0</vt:i4>
  </property>
</Properties>
</file>